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28cddc3ea141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35bd8b9f08249ac"/>
    <x:sheet xmlns:r="http://schemas.openxmlformats.org/officeDocument/2006/relationships" name="Assumptions" sheetId="2" r:id="R96ffe365990c4d21"/>
    <x:sheet xmlns:r="http://schemas.openxmlformats.org/officeDocument/2006/relationships" name="Service Revenue Path" sheetId="3" r:id="R4d8d0dc39b884441"/>
    <x:sheet xmlns:r="http://schemas.openxmlformats.org/officeDocument/2006/relationships" name="Venture Comparison" sheetId="4" r:id="R14fd7d5131584476"/>
    <x:sheet xmlns:r="http://schemas.openxmlformats.org/officeDocument/2006/relationships" name="Validation Actions" sheetId="5" r:id="Rc5ed04d546214875"/>
    <x:sheet xmlns:r="http://schemas.openxmlformats.org/officeDocument/2006/relationships" name="Sources" sheetId="6" r:id="R907d1cf0b82a4b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$#,##0"/>
    <x:numFmt numFmtId="202" formatCode="0.0"/>
    <x:numFmt numFmtId="203" formatCode="0%"/>
    <x:numFmt numFmtId="204" formatCode="$#,##0.00"/>
  </x:numFmts>
  <x:fonts count="7">
    <x:font>
      <x:sz val="11"/>
      <x:name val="Carlito"/>
    </x:font>
    <x:font>
      <x:b/>
      <x:sz val="18"/>
      <x:color rgb="EAF0F7"/>
      <x:name val="Carlito"/>
    </x:font>
    <x:font>
      <x:sz val="11"/>
      <x:color rgb="AAB6C4"/>
      <x:name val="Carlito"/>
    </x:font>
    <x:font>
      <x:b/>
      <x:sz val="11"/>
      <x:name val="Carlito"/>
    </x:font>
    <x:font>
      <x:b/>
      <x:sz val="11"/>
      <x:color rgb="EAF0F7"/>
      <x:name val="Carlito"/>
    </x:font>
    <x:font>
      <x:sz val="10"/>
      <x:color rgb="111827"/>
      <x:name val="Carlito"/>
    </x:font>
    <x:font>
      <x:b/>
      <x:sz val="10"/>
      <x:color rgb="11182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0B0F14"/>
      </x:patternFill>
    </x:fill>
    <x:fill>
      <x:patternFill patternType="solid">
        <x:fgColor rgb="E2E8F0"/>
      </x:patternFill>
    </x:fill>
    <x:fill>
      <x:patternFill patternType="solid">
        <x:fgColor rgb="F8FAFC"/>
      </x:patternFill>
    </x:fill>
    <x:fill>
      <x:patternFill patternType="solid">
        <x:fgColor rgb="DCFCE7"/>
      </x:patternFill>
    </x:fill>
    <x:fill>
      <x:patternFill patternType="solid">
        <x:fgColor rgb="FEF3C7"/>
      </x:patternFill>
    </x:fill>
    <x:fill>
      <x:patternFill patternType="solid">
        <x:fgColor rgb="DBEAFE"/>
      </x:patternFill>
    </x:fill>
  </x:fills>
  <x:borders count="18">
    <x:border/>
    <x:border>
      <x:left style="thin">
        <x:color rgb="334155"/>
      </x:left>
      <x:top style="thin">
        <x:color rgb="334155"/>
      </x:top>
      <x:bottom style="thin">
        <x:color rgb="334155"/>
      </x:bottom>
    </x:border>
    <x:border>
      <x:top style="thin">
        <x:color rgb="334155"/>
      </x:top>
      <x:bottom style="thin">
        <x:color rgb="334155"/>
      </x:bottom>
    </x:border>
    <x:border>
      <x:right style="thin">
        <x:color rgb="334155"/>
      </x:right>
      <x:top style="thin">
        <x:color rgb="334155"/>
      </x:top>
      <x:bottom style="thin">
        <x:color rgb="334155"/>
      </x:bottom>
    </x:border>
    <x:border>
      <x:left style="thin">
        <x:color rgb="CBD5E1"/>
      </x:left>
      <x:top style="thin">
        <x:color rgb="CBD5E1"/>
      </x:top>
    </x:border>
    <x:border>
      <x:top style="thin">
        <x:color rgb="CBD5E1"/>
      </x:top>
    </x:border>
    <x:border>
      <x:right style="thin">
        <x:color rgb="CBD5E1"/>
      </x:right>
      <x:top style="thin">
        <x:color rgb="CBD5E1"/>
      </x:top>
    </x:border>
    <x:border>
      <x:left style="thin">
        <x:color rgb="CBD5E1"/>
      </x:left>
    </x:border>
    <x:border>
      <x:right style="thin">
        <x:color rgb="CBD5E1"/>
      </x:right>
    </x:border>
    <x:border>
      <x:left style="thin">
        <x:color rgb="CBD5E1"/>
      </x:left>
      <x:bottom style="thin">
        <x:color rgb="CBD5E1"/>
      </x:bottom>
    </x:border>
    <x:border>
      <x:bottom style="thin">
        <x:color rgb="CBD5E1"/>
      </x:bottom>
    </x:border>
    <x:border>
      <x:right style="thin">
        <x:color rgb="CBD5E1"/>
      </x:right>
      <x:bottom style="thin">
        <x:color rgb="CBD5E1"/>
      </x:bottom>
    </x:border>
    <x:border>
      <x:left style="thin">
        <x:color rgb="86EFAC"/>
      </x:left>
      <x:top style="thin">
        <x:color rgb="86EFAC"/>
      </x:top>
      <x:bottom style="thin">
        <x:color rgb="86EFAC"/>
      </x:bottom>
    </x:border>
    <x:border>
      <x:top style="thin">
        <x:color rgb="86EFAC"/>
      </x:top>
      <x:bottom style="thin">
        <x:color rgb="86EFAC"/>
      </x:bottom>
    </x:border>
    <x:border>
      <x:right style="thin">
        <x:color rgb="86EFAC"/>
      </x:right>
      <x:top style="thin">
        <x:color rgb="86EFAC"/>
      </x:top>
      <x:bottom style="thin">
        <x:color rgb="86EFAC"/>
      </x:bottom>
    </x:border>
    <x:border>
      <x:left style="thin">
        <x:color rgb="93C5FD"/>
      </x:left>
      <x:right style="thin">
        <x:color rgb="93C5FD"/>
      </x:right>
      <x:top style="thin">
        <x:color rgb="93C5FD"/>
      </x:top>
    </x:border>
    <x:border>
      <x:left style="thin">
        <x:color rgb="93C5FD"/>
      </x:left>
      <x:right style="thin">
        <x:color rgb="93C5FD"/>
      </x:right>
    </x:border>
    <x:border>
      <x:left style="thin">
        <x:color rgb="93C5FD"/>
      </x:left>
      <x:right style="thin">
        <x:color rgb="93C5FD"/>
      </x:right>
      <x:bottom style="thin">
        <x:color rgb="93C5FD"/>
      </x:bottom>
    </x:border>
  </x:borders>
  <x:cellStyleXfs count="1">
    <x:xf numFmtId="0" fontId="0" fillId="0" borderId="0"/>
  </x:cellStyleXfs>
  <x:cellXfs count="9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201" fontId="0" fillId="4" borderId="0" xfId="0" applyNumberFormat="1" applyFont="1" applyFill="1" applyBorder="1" applyAlignment="1">
      <x:alignment wrapText="1"/>
    </x:xf>
    <x:xf numFmtId="202" fontId="0" fillId="4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201" fontId="5" fillId="0" borderId="5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top" wrapText="1"/>
    </x:xf>
    <x:xf numFmtId="201" fontId="5" fillId="0" borderId="10" xfId="0" applyNumberFormat="1" applyFont="1" applyFill="1" applyBorder="1" applyAlignment="1">
      <x:alignment vertical="top" wrapText="1"/>
    </x:xf>
    <x:xf numFmtId="201" fontId="5" fillId="5" borderId="10" xfId="0" applyNumberFormat="1" applyFont="1" applyFill="1" applyBorder="1" applyAlignment="1">
      <x:alignment vertical="top" wrapText="1"/>
    </x:xf>
    <x:xf numFmtId="0" fontId="5" fillId="5" borderId="10" xfId="0" applyNumberFormat="1" applyFont="1" applyFill="1" applyBorder="1" applyAlignment="1">
      <x:alignment vertical="top" wrapText="1"/>
    </x:xf>
    <x:xf numFmtId="0" fontId="5" fillId="5" borderId="11" xfId="0" applyNumberFormat="1" applyFont="1" applyFill="1" applyBorder="1" applyAlignment="1">
      <x:alignment vertical="top" wrapText="1"/>
    </x:xf>
    <x:xf numFmtId="201" fontId="6" fillId="5" borderId="10" xfId="0" applyNumberFormat="1" applyFont="1" applyFill="1" applyBorder="1" applyAlignment="1">
      <x:alignment vertical="top" wrapText="1"/>
    </x:xf>
    <x:xf numFmtId="0" fontId="6" fillId="5" borderId="10" xfId="0" applyNumberFormat="1" applyFont="1" applyFill="1" applyBorder="1" applyAlignment="1">
      <x:alignment vertical="top" wrapText="1"/>
    </x:xf>
    <x:xf numFmtId="0" fontId="6" fillId="5" borderId="11" xfId="0" applyNumberFormat="1" applyFont="1" applyFill="1" applyBorder="1" applyAlignment="1">
      <x:alignment vertical="top" wrapText="1"/>
    </x:xf>
    <x:xf numFmtId="201" fontId="6" fillId="5" borderId="12" xfId="0" applyNumberFormat="1" applyFont="1" applyFill="1" applyBorder="1" applyAlignment="1">
      <x:alignment vertical="top" wrapText="1"/>
    </x:xf>
    <x:xf numFmtId="0" fontId="6" fillId="5" borderId="13" xfId="0" applyNumberFormat="1" applyFont="1" applyFill="1" applyBorder="1" applyAlignment="1">
      <x:alignment vertical="top" wrapText="1"/>
    </x:xf>
    <x:xf numFmtId="0" fontId="6" fillId="5" borderId="14" xfId="0" applyNumberFormat="1" applyFont="1" applyFill="1" applyBorder="1" applyAlignment="1">
      <x:alignment vertical="top" wrapText="1"/>
    </x:xf>
    <x:xf numFmtId="0" fontId="5" fillId="5" borderId="6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  <x:xf numFmtId="200" fontId="5" fillId="0" borderId="5" xfId="0" applyNumberFormat="1" applyFont="1" applyFill="1" applyBorder="1" applyAlignment="1">
      <x:alignment vertical="top" wrapText="1"/>
    </x:xf>
    <x:xf numFmtId="203" fontId="5" fillId="0" borderId="0" xfId="0" applyNumberFormat="1" applyFont="1" applyFill="1" applyBorder="1" applyAlignment="1">
      <x:alignment vertical="top" wrapText="1"/>
    </x:xf>
    <x:xf numFmtId="204" fontId="5" fillId="0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201" fontId="5" fillId="0" borderId="6" xfId="0" applyNumberFormat="1" applyFont="1" applyFill="1" applyBorder="1" applyAlignment="1">
      <x:alignment vertical="top" wrapText="1"/>
    </x:xf>
    <x:xf numFmtId="201" fontId="5" fillId="0" borderId="8" xfId="0" applyNumberFormat="1" applyFont="1" applyFill="1" applyBorder="1" applyAlignment="1">
      <x:alignment vertical="top" wrapText="1"/>
    </x:xf>
    <x:xf numFmtId="203" fontId="5" fillId="0" borderId="5" xfId="0" applyNumberFormat="1" applyFont="1" applyFill="1" applyBorder="1" applyAlignment="1">
      <x:alignment vertical="top" wrapText="1"/>
    </x:xf>
    <x:xf numFmtId="201" fontId="5" fillId="7" borderId="8" xfId="0" applyNumberFormat="1" applyFont="1" applyFill="1" applyBorder="1" applyAlignment="1">
      <x:alignment vertical="top" wrapText="1"/>
    </x:xf>
    <x:xf numFmtId="201" fontId="6" fillId="7" borderId="8" xfId="0" applyNumberFormat="1" applyFont="1" applyFill="1" applyBorder="1" applyAlignment="1">
      <x:alignment vertical="top" wrapText="1"/>
    </x:xf>
    <x:xf numFmtId="201" fontId="6" fillId="7" borderId="15" xfId="0" applyNumberFormat="1" applyFont="1" applyFill="1" applyBorder="1" applyAlignment="1">
      <x:alignment vertical="top" wrapText="1"/>
    </x:xf>
    <x:xf numFmtId="201" fontId="6" fillId="7" borderId="16" xfId="0" applyNumberFormat="1" applyFont="1" applyFill="1" applyBorder="1" applyAlignment="1">
      <x:alignment vertical="top" wrapText="1"/>
    </x:xf>
    <x:xf numFmtId="201" fontId="6" fillId="7" borderId="17" xfId="0" applyNumberFormat="1" applyFont="1" applyFill="1" applyBorder="1" applyAlignment="1">
      <x:alignment vertical="top" wrapText="1"/>
    </x:xf>
    <x:xf numFmtId="0" fontId="5" fillId="4" borderId="7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8" xfId="0" applyNumberFormat="1" applyFont="1" applyFill="1" applyBorder="1" applyAlignment="1">
      <x:alignment vertical="top" wrapText="1"/>
    </x:xf>
    <x:xf numFmtId="0" fontId="5" fillId="4" borderId="9" xfId="0" applyNumberFormat="1" applyFont="1" applyFill="1" applyBorder="1" applyAlignment="1">
      <x:alignment vertical="top" wrapText="1"/>
    </x:xf>
    <x:xf numFmtId="0" fontId="5" fillId="4" borderId="10" xfId="0" applyNumberFormat="1" applyFont="1" applyFill="1" applyBorder="1" applyAlignment="1">
      <x:alignment vertical="top" wrapText="1"/>
    </x:xf>
    <x:xf numFmtId="0" fontId="5" fillId="4" borderId="11" xfId="0" applyNumberFormat="1" applyFont="1" applyFill="1" applyBorder="1" applyAlignment="1">
      <x:alignment vertical="top" wrapText="1"/>
    </x:xf>
    <x:xf numFmtId="202" fontId="5" fillId="0" borderId="0" xfId="0" applyNumberFormat="1" applyFont="1" applyFill="1" applyBorder="1" applyAlignment="1">
      <x:alignment vertical="top" wrapText="1"/>
    </x:xf>
    <x:xf numFmtId="202" fontId="5" fillId="0" borderId="10" xfId="0" applyNumberFormat="1" applyFont="1" applyFill="1" applyBorder="1" applyAlignment="1">
      <x:alignment vertical="top" wrapText="1"/>
    </x:xf>
    <x:xf numFmtId="200" fontId="5" fillId="0" borderId="10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horizontal="center" vertical="top" wrapText="1"/>
    </x:xf>
    <x:xf numFmtId="0" fontId="5" fillId="0" borderId="7" xfId="0" applyNumberFormat="1" applyFont="1" applyFill="1" applyBorder="1" applyAlignment="1">
      <x:alignment horizontal="center" vertical="top" wrapText="1"/>
    </x:xf>
    <x:xf numFmtId="0" fontId="5" fillId="0" borderId="9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991B1B"/>
      </x:font>
      <x:fill>
        <x:patternFill patternType="solid">
          <x:bgColor rgb="FECACA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91B1B"/>
      </x:font>
      <x:fill>
        <x:patternFill patternType="solid">
          <x:bgColor rgb="FECACA"/>
        </x:patternFill>
      </x:fill>
    </x:dxf>
    <x:dxf>
      <x:font>
        <x:b/>
        <x:color rgb="1D4ED8"/>
      </x:font>
      <x:fill>
        <x:patternFill patternType="solid">
          <x:bgColor rgb="DBEAFE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7f803fce784618" /><Relationship Type="http://schemas.openxmlformats.org/officeDocument/2006/relationships/theme" Target="/xl/theme/theme1.xml" Id="R686846f2c6ca4ba8" /><Relationship Type="http://schemas.openxmlformats.org/officeDocument/2006/relationships/sharedStrings" Target="/xl/sharedStrings.xml" Id="R13364c011a684a63" /><Relationship Type="http://schemas.openxmlformats.org/officeDocument/2006/relationships/worksheet" Target="/xl/worksheets/sheet1.xml" Id="R635bd8b9f08249ac" /><Relationship Type="http://schemas.openxmlformats.org/officeDocument/2006/relationships/worksheet" Target="/xl/worksheets/sheet2.xml" Id="R96ffe365990c4d21" /><Relationship Type="http://schemas.openxmlformats.org/officeDocument/2006/relationships/worksheet" Target="/xl/worksheets/sheet3.xml" Id="R4d8d0dc39b884441" /><Relationship Type="http://schemas.openxmlformats.org/officeDocument/2006/relationships/worksheet" Target="/xl/worksheets/sheet4.xml" Id="R14fd7d5131584476" /><Relationship Type="http://schemas.openxmlformats.org/officeDocument/2006/relationships/worksheet" Target="/xl/worksheets/sheet5.xml" Id="Rc5ed04d546214875" /><Relationship Type="http://schemas.openxmlformats.org/officeDocument/2006/relationships/worksheet" Target="/xl/worksheets/sheet6.xml" Id="R907d1cf0b82a4bb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27b7eee469d407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09c686fdd662445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Expected Cash By March 2027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Expected cash</c:v>
          </c:tx>
          <c:spPr>
            <a:solidFill xmlns:a="http://schemas.openxmlformats.org/drawingml/2006/main">
              <a:srgbClr val="3B82F6"/>
            </a:solidFill>
          </c:spPr>
          <c:cat>
            <c:strLit>
              <c:ptCount val="5"/>
              <c:pt idx="0">
                <c:v>JVT services</c:v>
              </c:pt>
              <c:pt idx="1">
                <c:v>Paper trading</c:v>
              </c:pt>
              <c:pt idx="2">
                <c:v>ASIC mining</c:v>
              </c:pt>
              <c:pt idx="3">
                <c:v>GPU hosting</c:v>
              </c:pt>
              <c:pt idx="4">
                <c:v>Token/NFT</c:v>
              </c:pt>
            </c:strLit>
          </c:cat>
          <c:val>
            <c:numLit>
              <c:formatCode/>
              <c:ptCount val="5"/>
              <c:pt idx="0">
                <c:v>NaN</c:v>
              </c:pt>
              <c:pt idx="1">
                <c:v>NaN</c:v>
              </c:pt>
              <c:pt idx="2">
                <c:v>NaN</c:v>
              </c:pt>
              <c:pt idx="3">
                <c:v>NaN</c:v>
              </c:pt>
              <c:pt idx="4">
                <c:v>NaN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Expected Service Cash By Offer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Expected cash</c:v>
          </c:tx>
          <c:spPr>
            <a:solidFill xmlns:a="http://schemas.openxmlformats.org/drawingml/2006/main">
              <a:srgbClr val="22C55E"/>
            </a:solidFill>
          </c:spPr>
          <c:cat>
            <c:strLit>
              <c:ptCount val="7"/>
              <c:pt idx="0">
                <c:v>AI receptionist</c:v>
              </c:pt>
              <c:pt idx="1">
                <c:v>Meeting packets</c:v>
              </c:pt>
              <c:pt idx="2">
                <c:v>Inbox triage</c:v>
              </c:pt>
              <c:pt idx="3">
                <c:v>Doc generator</c:v>
              </c:pt>
              <c:pt idx="4">
                <c:v>Workflow cleanup</c:v>
              </c:pt>
              <c:pt idx="5">
                <c:v>Maintenance</c:v>
              </c:pt>
              <c:pt idx="6">
                <c:v>Knowledge assistant</c:v>
              </c:pt>
            </c:strLit>
          </c:cat>
          <c:val>
            <c:numLit>
              <c:formatCode/>
              <c:ptCount val="7"/>
              <c:pt idx="0">
                <c:v>NaN</c:v>
              </c:pt>
              <c:pt idx="1">
                <c:v>NaN</c:v>
              </c:pt>
              <c:pt idx="2">
                <c:v>NaN</c:v>
              </c:pt>
              <c:pt idx="3">
                <c:v>NaN</c:v>
              </c:pt>
              <c:pt idx="4">
                <c:v>NaN</c:v>
              </c:pt>
              <c:pt idx="5">
                <c:v>NaN</c:v>
              </c:pt>
              <c:pt idx="6">
                <c:v>NaN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11</xdr:row>
      <xdr:rowOff>0</xdr:rowOff>
    </xdr:from>
    <xdr:ext cx="685800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7b7eee469d4076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16</xdr:row>
      <xdr:rowOff>0</xdr:rowOff>
    </xdr:from>
    <xdr:ext cx="7239000" cy="29527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c686fdd662445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35b93fded6648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dc5e9405be2148cb" /></Relationships>
</file>

<file path=xl/worksheets/sheet1.xml><?xml version="1.0" encoding="utf-8"?>
<x:worksheet xmlns:x="http://schemas.openxmlformats.org/spreadsheetml/2006/main">
  <x:sheetFormatPr defaultRowHeight="15"/>
  <x:cols>
    <x:col min="1" max="1" width="99.38999938964844" hidden="0" customWidth="1"/>
    <x:col min="2" max="2" width="61.720001220703125" hidden="0" customWidth="1"/>
    <x:col min="4" max="4" width="11.529999732971191" hidden="0" customWidth="1"/>
    <x:col min="5" max="5" width="16.440000534057617" hidden="0" customWidth="1"/>
    <x:col min="6" max="6" width="9.819999694824219" hidden="0" customWidth="1"/>
    <x:col min="7" max="7" width="16.93000030517578" hidden="0" customWidth="1"/>
    <x:col min="8" max="8" width="16.200000762939453" hidden="0" customWidth="1"/>
  </x:cols>
  <x:sheetData>
    <x:row r="1" ht="21.600000381469727" hidden="0" customHeight="1">
      <x:c r="A1" s="91" t="str">
        <x:v>JVT $10k Target Model</x:v>
      </x:c>
      <x:c r="B1" s="91" t="str"/>
      <x:c r="C1" s="91" t="str"/>
      <x:c r="D1" s="91" t="str"/>
      <x:c r="E1" s="91" t="str"/>
      <x:c r="F1" s="91" t="str"/>
      <x:c r="G1" s="91" t="str"/>
      <x:c r="H1" s="91" t="str"/>
    </x:row>
    <x:row r="2" ht="15" hidden="0" customHeight="1">
      <x:c r="A2" s="92" t="str">
        <x:v>Goal: generate $10,000 by March 31, 2027 from service revenue first, with trading/mining treated as controlled experiments.</x:v>
      </x:c>
      <x:c r="B2" s="92" t="str"/>
      <x:c r="C2" s="92" t="str"/>
      <x:c r="D2" s="92" t="str"/>
      <x:c r="E2" s="92" t="str"/>
      <x:c r="F2" s="92" t="str"/>
      <x:c r="G2" s="92" t="str"/>
      <x:c r="H2" s="92" t="str"/>
    </x:row>
    <x:row r="3">
      <x:c r="A3" s="93"/>
      <x:c r="B3" s="93"/>
      <x:c r="C3" s="93"/>
      <x:c r="D3" s="93"/>
      <x:c r="E3" s="93"/>
      <x:c r="F3" s="93"/>
      <x:c r="G3" s="93"/>
      <x:c r="H3" s="93"/>
    </x:row>
    <x:row r="4" ht="15" hidden="0" customHeight="1">
      <x:c r="A4" s="7" t="str">
        <x:v>Start date</x:v>
      </x:c>
      <x:c r="B4" s="10" t="n">
        <x:v>46168</x:v>
      </x:c>
      <x:c r="C4" s="93"/>
      <x:c r="D4" s="23" t="str">
        <x:v>Track</x:v>
      </x:c>
      <x:c r="E4" s="24" t="str">
        <x:v>Expected by Target</x:v>
      </x:c>
      <x:c r="F4" s="24" t="str">
        <x:v>Confidence</x:v>
      </x:c>
      <x:c r="G4" s="24" t="str">
        <x:v>Role</x:v>
      </x:c>
      <x:c r="H4" s="25" t="str">
        <x:v>Decision</x:v>
      </x:c>
    </x:row>
    <x:row r="5" ht="15" hidden="0" customHeight="1">
      <x:c r="A5" s="7" t="str">
        <x:v>Target date</x:v>
      </x:c>
      <x:c r="B5" s="10" t="n">
        <x:v>46477</x:v>
      </x:c>
      <x:c r="C5" s="93"/>
      <x:c r="D5" s="44" t="str">
        <x:v>JVT services</x:v>
      </x:c>
      <x:c r="E5" s="53" t="n">
        <x:f>'Service Revenue Path'!H9</x:f>
        <x:v>12127.5</x:v>
      </x:c>
      <x:c r="F5" s="45" t="str">
        <x:v>Medium</x:v>
      </x:c>
      <x:c r="G5" s="45" t="str">
        <x:v>Primary</x:v>
      </x:c>
      <x:c r="H5" s="65" t="str">
        <x:v>Execute now</x:v>
      </x:c>
    </x:row>
    <x:row r="6" ht="15" hidden="0" customHeight="1">
      <x:c r="A6" s="7" t="str">
        <x:v>Target cash generated</x:v>
      </x:c>
      <x:c r="B6" s="11" t="n">
        <x:v>10000</x:v>
      </x:c>
      <x:c r="C6" s="93"/>
      <x:c r="D6" s="47" t="str">
        <x:v>Paper trading</x:v>
      </x:c>
      <x:c r="E6" s="54" t="n">
        <x:f>0</x:f>
        <x:v>0</x:v>
      </x:c>
      <x:c r="F6" s="48" t="str">
        <x:v>Low</x:v>
      </x:c>
      <x:c r="G6" s="48" t="str">
        <x:v>Research only</x:v>
      </x:c>
      <x:c r="H6" s="66" t="str">
        <x:v>No live orders</x:v>
      </x:c>
    </x:row>
    <x:row r="7" ht="15" hidden="0" customHeight="1">
      <x:c r="A7" s="7" t="str">
        <x:v>Months available</x:v>
      </x:c>
      <x:c r="B7" s="12" t="n">
        <x:f>(B5-B4)/30.437</x:f>
        <x:v>10.152117488582974</x:v>
      </x:c>
      <x:c r="C7" s="93"/>
      <x:c r="D7" s="47" t="str">
        <x:v>ASIC mining</x:v>
      </x:c>
      <x:c r="E7" s="54" t="n">
        <x:f>0</x:f>
        <x:v>0</x:v>
      </x:c>
      <x:c r="F7" s="48" t="str">
        <x:v>Low</x:v>
      </x:c>
      <x:c r="G7" s="48" t="str">
        <x:v>Optional hardware test</x:v>
      </x:c>
      <x:c r="H7" s="66" t="str">
        <x:v>Do not buy yet</x:v>
      </x:c>
    </x:row>
    <x:row r="8" ht="15" hidden="0" customHeight="1">
      <x:c r="A8" s="7" t="str">
        <x:v>Avg. monthly required</x:v>
      </x:c>
      <x:c r="B8" s="11" t="n">
        <x:f>B6/B7</x:f>
        <x:v>985.0161812297736</x:v>
      </x:c>
      <x:c r="C8" s="93"/>
      <x:c r="D8" s="47" t="str">
        <x:v>GPU hosting</x:v>
      </x:c>
      <x:c r="E8" s="54" t="n">
        <x:f>0</x:f>
        <x:v>0</x:v>
      </x:c>
      <x:c r="F8" s="48" t="str">
        <x:v>Low-medium</x:v>
      </x:c>
      <x:c r="G8" s="48" t="str">
        <x:v>Hardware diligence</x:v>
      </x:c>
      <x:c r="H8" s="66" t="str">
        <x:v>Validate before buying</x:v>
      </x:c>
    </x:row>
    <x:row r="9" ht="15" hidden="0" customHeight="1">
      <x:c r="A9" s="7" t="str">
        <x:v>Primary recommendation</x:v>
      </x:c>
      <x:c r="B9" s="9" t="str">
        <x:v>Service-led: close small paid pilots, keep trading/mining as data experiments</x:v>
      </x:c>
      <x:c r="C9" s="93"/>
      <x:c r="D9" s="47" t="str">
        <x:v>Token/NFT/coin</x:v>
      </x:c>
      <x:c r="E9" s="54" t="n">
        <x:f>0</x:f>
        <x:v>0</x:v>
      </x:c>
      <x:c r="F9" s="48" t="str">
        <x:v>Very low</x:v>
      </x:c>
      <x:c r="G9" s="48" t="str">
        <x:v>Distribution experiment</x:v>
      </x:c>
      <x:c r="H9" s="66" t="str">
        <x:v>Do not lead with it</x:v>
      </x:c>
    </x:row>
    <x:row r="10" ht="15" hidden="0" customHeight="1">
      <x:c r="A10" s="93"/>
      <x:c r="B10" s="93"/>
      <x:c r="C10" s="93"/>
      <x:c r="D10" s="50" t="str">
        <x:v>Total expected</x:v>
      </x:c>
      <x:c r="E10" s="62" t="n">
        <x:f>SUM(E5:E9)</x:f>
        <x:v>12127.5</x:v>
      </x:c>
      <x:c r="F10" s="63" t="str"/>
      <x:c r="G10" s="63" t="str"/>
      <x:c r="H10" s="64" t="str"/>
    </x:row>
  </x:sheetData>
  <x:pageMargins left="0.7" right="0.7" top="0.75" bottom="0.75" header="0.3" footer="0.3"/>
  <x:drawing xmlns:r="http://schemas.openxmlformats.org/officeDocument/2006/relationships" r:id="R335b93fded664847"/>
</x:worksheet>
</file>

<file path=xl/worksheets/sheet2.xml><?xml version="1.0" encoding="utf-8"?>
<x:worksheet xmlns:x="http://schemas.openxmlformats.org/spreadsheetml/2006/main">
  <x:sheetFormatPr defaultRowHeight="15"/>
  <x:cols>
    <x:col min="1" max="1" width="21.100000381469727" hidden="0" customWidth="1"/>
    <x:col min="2" max="2" width="10.550000190734863" hidden="0" customWidth="1"/>
    <x:col min="3" max="3" width="8.470000267028809" hidden="0" customWidth="1"/>
    <x:col min="4" max="4" width="8.710000038146973" hidden="0" customWidth="1"/>
    <x:col min="5" max="5" width="66.26000213623047" hidden="0" customWidth="1"/>
  </x:cols>
  <x:sheetData>
    <x:row r="1" ht="15" hidden="0" customHeight="1">
      <x:c r="A1" s="23" t="str">
        <x:v>Assumption</x:v>
      </x:c>
      <x:c r="B1" s="24" t="str">
        <x:v>Base Case</x:v>
      </x:c>
      <x:c r="C1" s="24" t="str">
        <x:v>Low Case</x:v>
      </x:c>
      <x:c r="D1" s="24" t="str">
        <x:v>High Case</x:v>
      </x:c>
      <x:c r="E1" s="25" t="str">
        <x:v>Notes</x:v>
      </x:c>
    </x:row>
    <x:row r="2" ht="15" hidden="0" customHeight="1">
      <x:c r="A2" s="44" t="str">
        <x:v>Target date</x:v>
      </x:c>
      <x:c r="B2" s="67" t="n">
        <x:v>46477</x:v>
      </x:c>
      <x:c r="C2" s="67" t="str"/>
      <x:c r="D2" s="67" t="str"/>
      <x:c r="E2" s="46" t="str">
        <x:v>User reset target from one-year goal to March 2027.</x:v>
      </x:c>
    </x:row>
    <x:row r="3" ht="15" hidden="0" customHeight="1">
      <x:c r="A3" s="47" t="str">
        <x:v>Target cash generated</x:v>
      </x:c>
      <x:c r="B3" s="54" t="n">
        <x:v>10000</x:v>
      </x:c>
      <x:c r="C3" s="54" t="n">
        <x:v>7500</x:v>
      </x:c>
      <x:c r="D3" s="54" t="n">
        <x:v>15000</x:v>
      </x:c>
      <x:c r="E3" s="49" t="str">
        <x:v>Gross cash collected, not after-tax profit.</x:v>
      </x:c>
    </x:row>
    <x:row r="4" ht="15" hidden="0" customHeight="1">
      <x:c r="A4" s="47" t="str">
        <x:v>Service close probability</x:v>
      </x:c>
      <x:c r="B4" s="68" t="n">
        <x:v>0.4</x:v>
      </x:c>
      <x:c r="C4" s="68" t="n">
        <x:v>0.2</x:v>
      </x:c>
      <x:c r="D4" s="68" t="n">
        <x:v>0.65</x:v>
      </x:c>
      <x:c r="E4" s="49" t="str">
        <x:v>Used per offer line, adjusted by wedge.</x:v>
      </x:c>
    </x:row>
    <x:row r="5" ht="15" hidden="0" customHeight="1">
      <x:c r="A5" s="47" t="str">
        <x:v>BTC ASIC capex</x:v>
      </x:c>
      <x:c r="B5" s="69" t="n">
        <x:v>1600</x:v>
      </x:c>
      <x:c r="C5" s="69" t="n">
        <x:v>1200</x:v>
      </x:c>
      <x:c r="D5" s="69" t="n">
        <x:v>2800</x:v>
      </x:c>
      <x:c r="E5" s="49" t="str">
        <x:v>S21-style used/new market range before electrical/cooling work.</x:v>
      </x:c>
    </x:row>
    <x:row r="6" ht="15" hidden="0" customHeight="1">
      <x:c r="A6" s="47" t="str">
        <x:v>S21 gross revenue/day</x:v>
      </x:c>
      <x:c r="B6" s="69" t="n">
        <x:v>7</x:v>
      </x:c>
      <x:c r="C6" s="69" t="n">
        <x:v>4.5</x:v>
      </x:c>
      <x:c r="D6" s="69" t="n">
        <x:v>10</x:v>
      </x:c>
      <x:c r="E6" s="49" t="str">
        <x:v>StartMining live hashprice example: S21 around $7/day gross at $37/PH/day.</x:v>
      </x:c>
    </x:row>
    <x:row r="7" ht="15" hidden="0" customHeight="1">
      <x:c r="A7" s="47" t="str">
        <x:v>S21 power draw kW</x:v>
      </x:c>
      <x:c r="B7" s="69" t="n">
        <x:v>3.5</x:v>
      </x:c>
      <x:c r="C7" s="69" t="n">
        <x:v>3.5</x:v>
      </x:c>
      <x:c r="D7" s="69" t="n">
        <x:v>3.5</x:v>
      </x:c>
      <x:c r="E7" s="49" t="str">
        <x:v>S21 spec: 3,500W, 200 TH/s.</x:v>
      </x:c>
    </x:row>
    <x:row r="8" ht="15" hidden="0" customHeight="1">
      <x:c r="A8" s="47" t="str">
        <x:v>Electricity $/kWh</x:v>
      </x:c>
      <x:c r="B8" s="69" t="n">
        <x:v>0.1</x:v>
      </x:c>
      <x:c r="C8" s="69" t="n">
        <x:v>0.06</x:v>
      </x:c>
      <x:c r="D8" s="69" t="n">
        <x:v>0</x:v>
      </x:c>
      <x:c r="E8" s="49" t="str">
        <x:v>Change this to actual marginal power cost.</x:v>
      </x:c>
    </x:row>
    <x:row r="9" ht="15" hidden="0" customHeight="1">
      <x:c r="A9" s="47" t="str">
        <x:v>GPU hosting capex</x:v>
      </x:c>
      <x:c r="B9" s="69" t="n">
        <x:v>3200</x:v>
      </x:c>
      <x:c r="C9" s="69" t="n">
        <x:v>2200</x:v>
      </x:c>
      <x:c r="D9" s="69" t="n">
        <x:v>6500</x:v>
      </x:c>
      <x:c r="E9" s="49" t="str">
        <x:v>Single competitive NVIDIA box, not current Mac hardware.</x:v>
      </x:c>
    </x:row>
    <x:row r="10" ht="15" hidden="0" customHeight="1">
      <x:c r="A10" s="47" t="str">
        <x:v>GPU host rental $/hr</x:v>
      </x:c>
      <x:c r="B10" s="68" t="n">
        <x:v>0.4</x:v>
      </x:c>
      <x:c r="C10" s="68" t="n">
        <x:v>0.2</x:v>
      </x:c>
      <x:c r="D10" s="68" t="n">
        <x:v>0.7</x:v>
      </x:c>
      <x:c r="E10" s="49" t="str">
        <x:v>Marketplace pricing varies heavily by GPU, host reputation, region, storage, and uptime.</x:v>
      </x:c>
    </x:row>
    <x:row r="11" ht="15" hidden="0" customHeight="1">
      <x:c r="A11" s="47" t="str">
        <x:v>GPU utilization</x:v>
      </x:c>
      <x:c r="B11" s="69" t="n">
        <x:v>0.35</x:v>
      </x:c>
      <x:c r="C11" s="69" t="n">
        <x:v>0.15</x:v>
      </x:c>
      <x:c r="D11" s="69" t="n">
        <x:v>0.7</x:v>
      </x:c>
      <x:c r="E11" s="49" t="str">
        <x:v>Utilization is the hardest assumption; new hosts may sit idle.</x:v>
      </x:c>
    </x:row>
    <x:row r="12" ht="15" hidden="0" customHeight="1">
      <x:c r="A12" s="47" t="str">
        <x:v>GPU power draw kW</x:v>
      </x:c>
      <x:c r="B12" s="69" t="n">
        <x:v>0.65</x:v>
      </x:c>
      <x:c r="C12" s="69" t="n">
        <x:v>0.45</x:v>
      </x:c>
      <x:c r="D12" s="69" t="n">
        <x:v>1.2</x:v>
      </x:c>
      <x:c r="E12" s="49" t="str">
        <x:v>Whole-system estimate for one high-end GPU host.</x:v>
      </x:c>
    </x:row>
    <x:row r="13" ht="15" hidden="0" customHeight="1">
      <x:c r="A13" s="47" t="str">
        <x:v>Paper trading expected cash</x:v>
      </x:c>
      <x:c r="B13" s="48" t="n">
        <x:v>0</x:v>
      </x:c>
      <x:c r="C13" s="48" t="n">
        <x:v>0</x:v>
      </x:c>
      <x:c r="D13" s="48" t="n">
        <x:v>0</x:v>
      </x:c>
      <x:c r="E13" s="49" t="str">
        <x:v>Paper trading is not counted until live risk policy is approved.</x:v>
      </x:c>
    </x:row>
    <x:row r="14" ht="15" hidden="0" customHeight="1">
      <x:c r="A14" s="47" t="str">
        <x:v>JVT first-client target</x:v>
      </x:c>
      <x:c r="B14" s="48" t="n">
        <x:v>1</x:v>
      </x:c>
      <x:c r="C14" s="48" t="n">
        <x:v>1</x:v>
      </x:c>
      <x:c r="D14" s="48" t="n">
        <x:v>3</x:v>
      </x:c>
      <x:c r="E14" s="49" t="str">
        <x:v>Need one paid client quickly to validate offer and copy.</x:v>
      </x:c>
    </x:row>
    <x:row r="15" ht="15" hidden="0" customHeight="1">
      <x:c r="A15" s="47" t="str">
        <x:v>No-spend rule</x:v>
      </x:c>
      <x:c r="B15" s="70" t="str">
        <x:v>Active</x:v>
      </x:c>
      <x:c r="C15" s="70" t="str"/>
      <x:c r="D15" s="70" t="str"/>
      <x:c r="E15" s="49" t="str">
        <x:v>No hardware, subscriptions, live orders, or phone-provider spend without explicit approval.</x:v>
      </x:c>
    </x:row>
    <x:row r="16" ht="15" hidden="0" customHeight="1">
      <x:c r="A16" s="47" t="str">
        <x:v>Data date</x:v>
      </x:c>
      <x:c r="B16" s="48" t="n">
        <x:v>46168</x:v>
      </x:c>
      <x:c r="C16" s="48" t="str"/>
      <x:c r="D16" s="48" t="str"/>
      <x:c r="E16" s="49" t="str">
        <x:v>Refresh before any hardware decision.</x:v>
      </x:c>
    </x:row>
    <x:row r="17" ht="15" hidden="0" customHeight="1">
      <x:c r="A17" s="47" t="str">
        <x:v>Tax/legal note</x:v>
      </x:c>
      <x:c r="B17" s="48" t="str">
        <x:v>Not modeled</x:v>
      </x:c>
      <x:c r="C17" s="48" t="str"/>
      <x:c r="D17" s="48" t="str"/>
      <x:c r="E17" s="49" t="str">
        <x:v>This is planning math, not tax/investment advice.</x:v>
      </x:c>
    </x:row>
    <x:row r="18" ht="15" hidden="0" customHeight="1">
      <x:c r="A18" s="50" t="str">
        <x:v>March target mode</x:v>
      </x:c>
      <x:c r="B18" s="51" t="str">
        <x:v>Fast validation</x:v>
      </x:c>
      <x:c r="C18" s="51" t="str"/>
      <x:c r="D18" s="51" t="str"/>
      <x:c r="E18" s="52" t="str">
        <x:v>Favor paid pilots over long payback assets.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.889999389648438" hidden="0" customWidth="1"/>
    <x:col min="2" max="2" width="64.54000091552734" hidden="0" customWidth="1"/>
    <x:col min="3" max="3" width="6.380000114440918" hidden="0" customWidth="1"/>
    <x:col min="4" max="4" width="8.34000015258789" hidden="0" customWidth="1"/>
    <x:col min="5" max="5" width="8.470000267028809" hidden="0" customWidth="1"/>
    <x:col min="6" max="6" width="13.989999771118164" hidden="0" customWidth="1"/>
    <x:col min="7" max="7" width="9.079999923706055" hidden="0" customWidth="1"/>
    <x:col min="8" max="8" width="23.559999465942383" hidden="0" customWidth="1"/>
  </x:cols>
  <x:sheetData>
    <x:row r="1" ht="15" hidden="0" customHeight="1">
      <x:c r="A1" s="23" t="str">
        <x:v>Offer</x:v>
      </x:c>
      <x:c r="B1" s="24" t="str">
        <x:v>Target customer</x:v>
      </x:c>
      <x:c r="C1" s="24" t="str">
        <x:v>Setup $</x:v>
      </x:c>
      <x:c r="D1" s="24" t="str">
        <x:v>Monthly $</x:v>
      </x:c>
      <x:c r="E1" s="24" t="str">
        <x:v>Paid units</x:v>
      </x:c>
      <x:c r="F1" s="24" t="str">
        <x:v>Months retained</x:v>
      </x:c>
      <x:c r="G1" s="24" t="str">
        <x:v>Probability</x:v>
      </x:c>
      <x:c r="H1" s="25" t="str">
        <x:v>Expected cash by Mar 2027</x:v>
      </x:c>
    </x:row>
    <x:row r="2" ht="15" hidden="0" customHeight="1">
      <x:c r="A2" s="44" t="str">
        <x:v>AI receptionist / voice intake</x:v>
      </x:c>
      <x:c r="B2" s="45" t="str">
        <x:v>Law, accounting, contractors, property managers</x:v>
      </x:c>
      <x:c r="C2" s="53" t="n">
        <x:v>750</x:v>
      </x:c>
      <x:c r="D2" s="53" t="n">
        <x:v>500</x:v>
      </x:c>
      <x:c r="E2" s="53" t="n">
        <x:v>2</x:v>
      </x:c>
      <x:c r="F2" s="53" t="n">
        <x:v>5</x:v>
      </x:c>
      <x:c r="G2" s="73" t="n">
        <x:v>0.45</x:v>
      </x:c>
      <x:c r="H2" s="71" t="n">
        <x:f>(C2+(D2*F2))*E2*G2</x:f>
        <x:v>2925</x:v>
      </x:c>
    </x:row>
    <x:row r="3" ht="15" hidden="0" customHeight="1">
      <x:c r="A3" s="47" t="str">
        <x:v>Meeting-to-action packets</x:v>
      </x:c>
      <x:c r="B3" s="48" t="str">
        <x:v>Service firms with calls/meetings</x:v>
      </x:c>
      <x:c r="C3" s="54" t="n">
        <x:v>250</x:v>
      </x:c>
      <x:c r="D3" s="54" t="n">
        <x:v>250</x:v>
      </x:c>
      <x:c r="E3" s="54" t="n">
        <x:v>4</x:v>
      </x:c>
      <x:c r="F3" s="54" t="n">
        <x:v>4</x:v>
      </x:c>
      <x:c r="G3" s="68" t="n">
        <x:v>0.5</x:v>
      </x:c>
      <x:c r="H3" s="72" t="n">
        <x:f>(C3+(D3*F3))*E3*G3</x:f>
        <x:v>2500</x:v>
      </x:c>
    </x:row>
    <x:row r="4" ht="15" hidden="0" customHeight="1">
      <x:c r="A4" s="47" t="str">
        <x:v>Inbox/document triage agent</x:v>
      </x:c>
      <x:c r="B4" s="48" t="str">
        <x:v>Document-heavy offices</x:v>
      </x:c>
      <x:c r="C4" s="54" t="n">
        <x:v>1500</x:v>
      </x:c>
      <x:c r="D4" s="54" t="n">
        <x:v>700</x:v>
      </x:c>
      <x:c r="E4" s="54" t="n">
        <x:v>1</x:v>
      </x:c>
      <x:c r="F4" s="54" t="n">
        <x:v>4</x:v>
      </x:c>
      <x:c r="G4" s="68" t="n">
        <x:v>0.3</x:v>
      </x:c>
      <x:c r="H4" s="72" t="n">
        <x:f>(C4+(D4*F4))*E4*G4</x:f>
        <x:v>1290</x:v>
      </x:c>
    </x:row>
    <x:row r="5" ht="15" hidden="0" customHeight="1">
      <x:c r="A5" s="47" t="str">
        <x:v>Document packet generator</x:v>
      </x:c>
      <x:c r="B5" s="48" t="str">
        <x:v>Law, accounting, insurance</x:v>
      </x:c>
      <x:c r="C5" s="54" t="n">
        <x:v>2000</x:v>
      </x:c>
      <x:c r="D5" s="54" t="n">
        <x:v>1000</x:v>
      </x:c>
      <x:c r="E5" s="54" t="n">
        <x:v>1</x:v>
      </x:c>
      <x:c r="F5" s="54" t="n">
        <x:v>3</x:v>
      </x:c>
      <x:c r="G5" s="68" t="n">
        <x:v>0.35</x:v>
      </x:c>
      <x:c r="H5" s="72" t="n">
        <x:f>(C5+(D5*F5))*E5*G5</x:f>
        <x:v>1750</x:v>
      </x:c>
    </x:row>
    <x:row r="6" ht="15" hidden="0" customHeight="1">
      <x:c r="A6" s="47" t="str">
        <x:v>Managed AI workflow cleanup</x:v>
      </x:c>
      <x:c r="B6" s="48" t="str">
        <x:v>Small ops teams using ad hoc AI</x:v>
      </x:c>
      <x:c r="C6" s="54" t="n">
        <x:v>1000</x:v>
      </x:c>
      <x:c r="D6" s="54" t="n">
        <x:v>500</x:v>
      </x:c>
      <x:c r="E6" s="54" t="n">
        <x:v>2</x:v>
      </x:c>
      <x:c r="F6" s="54" t="n">
        <x:v>3</x:v>
      </x:c>
      <x:c r="G6" s="68" t="n">
        <x:v>0.35</x:v>
      </x:c>
      <x:c r="H6" s="72" t="n">
        <x:f>(C6+(D6*F6))*E6*G6</x:f>
        <x:v>1750</x:v>
      </x:c>
    </x:row>
    <x:row r="7" ht="15" hidden="0" customHeight="1">
      <x:c r="A7" s="47" t="str">
        <x:v>Website/control-panel maintenance</x:v>
      </x:c>
      <x:c r="B7" s="48" t="str">
        <x:v>Existing local businesses</x:v>
      </x:c>
      <x:c r="C7" s="54" t="n">
        <x:v>500</x:v>
      </x:c>
      <x:c r="D7" s="54" t="n">
        <x:v>250</x:v>
      </x:c>
      <x:c r="E7" s="54" t="n">
        <x:v>2</x:v>
      </x:c>
      <x:c r="F7" s="54" t="n">
        <x:v>4</x:v>
      </x:c>
      <x:c r="G7" s="68" t="n">
        <x:v>0.35</x:v>
      </x:c>
      <x:c r="H7" s="72" t="n">
        <x:f>(C7+(D7*F7))*E7*G7</x:f>
        <x:v>1050</x:v>
      </x:c>
    </x:row>
    <x:row r="8" ht="15" hidden="0" customHeight="1">
      <x:c r="A8" s="47" t="str">
        <x:v>Internal knowledge assistant</x:v>
      </x:c>
      <x:c r="B8" s="48" t="str">
        <x:v>Firms with docs/SOPs</x:v>
      </x:c>
      <x:c r="C8" s="54" t="n">
        <x:v>1500</x:v>
      </x:c>
      <x:c r="D8" s="54" t="n">
        <x:v>650</x:v>
      </x:c>
      <x:c r="E8" s="54" t="n">
        <x:v>1</x:v>
      </x:c>
      <x:c r="F8" s="54" t="n">
        <x:v>3</x:v>
      </x:c>
      <x:c r="G8" s="68" t="n">
        <x:v>0.25</x:v>
      </x:c>
      <x:c r="H8" s="72" t="n">
        <x:f>(C8+(D8*F8))*E8*G8</x:f>
        <x:v>862.5</x:v>
      </x:c>
    </x:row>
    <x:row r="9" ht="15" hidden="0" customHeight="1">
      <x:c r="A9" s="47" t="str">
        <x:v>Subtotal expected</x:v>
      </x:c>
      <x:c r="B9" s="48" t="str"/>
      <x:c r="C9" s="54" t="str"/>
      <x:c r="D9" s="54" t="str"/>
      <x:c r="E9" s="54" t="str"/>
      <x:c r="F9" s="54" t="str"/>
      <x:c r="G9" s="54" t="str"/>
      <x:c r="H9" s="76" t="n">
        <x:f>SUM(H2:H8)</x:f>
        <x:v>12127.5</x:v>
      </x:c>
    </x:row>
    <x:row r="10" ht="15" hidden="0" customHeight="1">
      <x:c r="A10" s="47" t="str">
        <x:v>Needed to target</x:v>
      </x:c>
      <x:c r="B10" s="48" t="str"/>
      <x:c r="C10" s="54" t="str"/>
      <x:c r="D10" s="54" t="str"/>
      <x:c r="E10" s="54" t="str"/>
      <x:c r="F10" s="54" t="str"/>
      <x:c r="G10" s="54" t="str"/>
      <x:c r="H10" s="77" t="n">
        <x:f>Dashboard!B6</x:f>
        <x:v>10000</x:v>
      </x:c>
    </x:row>
    <x:row r="11" ht="15" hidden="0" customHeight="1">
      <x:c r="A11" s="47" t="str">
        <x:v>Gap / cushion</x:v>
      </x:c>
      <x:c r="B11" s="48" t="str"/>
      <x:c r="C11" s="54" t="str"/>
      <x:c r="D11" s="54" t="str"/>
      <x:c r="E11" s="54" t="str"/>
      <x:c r="F11" s="54" t="str"/>
      <x:c r="G11" s="54" t="str"/>
      <x:c r="H11" s="78" t="n">
        <x:f>H9-H10</x:f>
        <x:v>2127.5</x:v>
      </x:c>
    </x:row>
    <x:row r="12" ht="15" hidden="0" customHeight="1">
      <x:c r="A12" s="79" t="str"/>
      <x:c r="B12" s="80" t="str"/>
      <x:c r="C12" s="80" t="str"/>
      <x:c r="D12" s="80" t="str"/>
      <x:c r="E12" s="80" t="str"/>
      <x:c r="F12" s="80" t="str"/>
      <x:c r="G12" s="80" t="str"/>
      <x:c r="H12" s="81" t="str"/>
    </x:row>
    <x:row r="13" ht="15" hidden="0" customHeight="1">
      <x:c r="A13" s="79" t="str">
        <x:v>Execution rule</x:v>
      </x:c>
      <x:c r="B13" s="80" t="str">
        <x:v>One paid pilot beats another speculative asset purchase.</x:v>
      </x:c>
      <x:c r="C13" s="80" t="str"/>
      <x:c r="D13" s="80" t="str"/>
      <x:c r="E13" s="80" t="str"/>
      <x:c r="F13" s="80" t="str"/>
      <x:c r="G13" s="80" t="str"/>
      <x:c r="H13" s="81" t="str"/>
    </x:row>
    <x:row r="14" ht="15" hidden="0" customHeight="1">
      <x:c r="A14" s="82" t="str">
        <x:v>Fastest path</x:v>
      </x:c>
      <x:c r="B14" s="83" t="str">
        <x:v>Bundle meeting-to-action + inbox triage + AI receptionist as one narrow intake workflow.</x:v>
      </x:c>
      <x:c r="C14" s="83" t="str"/>
      <x:c r="D14" s="83" t="str"/>
      <x:c r="E14" s="83" t="str"/>
      <x:c r="F14" s="83" t="str"/>
      <x:c r="G14" s="83" t="str"/>
      <x:c r="H14" s="84" t="str"/>
    </x:row>
  </x:sheetData>
  <x:pageMargins left="0.7" right="0.7" top="0.75" bottom="0.75" header="0.3" footer="0.3"/>
  <x:drawing xmlns:r="http://schemas.openxmlformats.org/officeDocument/2006/relationships" r:id="Rdc5e9405be2148cb"/>
</x:worksheet>
</file>

<file path=xl/worksheets/sheet4.xml><?xml version="1.0" encoding="utf-8"?>
<x:worksheet xmlns:x="http://schemas.openxmlformats.org/spreadsheetml/2006/main">
  <x:sheetFormatPr defaultRowHeight="15"/>
  <x:cols>
    <x:col min="1" max="1" width="27.360000610351562" hidden="0" customWidth="1"/>
    <x:col min="2" max="2" width="6.869999885559082" hidden="0" customWidth="1"/>
    <x:col min="3" max="3" width="12.270000457763672" hidden="0" customWidth="1"/>
    <x:col min="4" max="4" width="12.640000343322754" hidden="0" customWidth="1"/>
    <x:col min="5" max="5" width="14.229999542236328" hidden="0" customWidth="1"/>
    <x:col min="6" max="6" width="17.18000030517578" hidden="0" customWidth="1"/>
    <x:col min="7" max="7" width="9.569999694824219" hidden="0" customWidth="1"/>
    <x:col min="8" max="8" width="17.670000076293945" hidden="0" customWidth="1"/>
    <x:col min="9" max="9" width="9.569999694824219" hidden="0" customWidth="1"/>
    <x:col min="10" max="10" width="34.599998474121094" hidden="0" customWidth="1"/>
    <x:col min="11" max="11" width="25.639999389648438" hidden="0" customWidth="1"/>
  </x:cols>
  <x:sheetData>
    <x:row r="1" ht="15" hidden="0" customHeight="1">
      <x:c r="A1" s="23" t="str">
        <x:v>Venture</x:v>
      </x:c>
      <x:c r="B1" s="24" t="str">
        <x:v>Capex $</x:v>
      </x:c>
      <x:c r="C1" s="24" t="str">
        <x:v>Revenue / unit</x:v>
      </x:c>
      <x:c r="D1" s="24" t="str">
        <x:v>Operating cost</x:v>
      </x:c>
      <x:c r="E1" s="24" t="str">
        <x:v>Utilization / days</x:v>
      </x:c>
      <x:c r="F1" s="24" t="str">
        <x:v>Months/days to Mar</x:v>
      </x:c>
      <x:c r="G1" s="24" t="str">
        <x:v>Gross cash</x:v>
      </x:c>
      <x:c r="H1" s="24" t="str">
        <x:v>Expected net by Mar</x:v>
      </x:c>
      <x:c r="I1" s="24" t="str">
        <x:v>Complexity</x:v>
      </x:c>
      <x:c r="J1" s="24" t="str">
        <x:v>Main risk</x:v>
      </x:c>
      <x:c r="K1" s="25" t="str">
        <x:v>Decision</x:v>
      </x:c>
    </x:row>
    <x:row r="2" ht="15" hidden="0" customHeight="1">
      <x:c r="A2" s="44" t="str">
        <x:v>JVT service offers</x:v>
      </x:c>
      <x:c r="B2" s="53" t="n">
        <x:v>0</x:v>
      </x:c>
      <x:c r="C2" s="53" t="str"/>
      <x:c r="D2" s="53" t="str"/>
      <x:c r="E2" s="53" t="str"/>
      <x:c r="F2" s="53" t="str"/>
      <x:c r="G2" s="53" t="n">
        <x:f>'Service Revenue Path'!H9</x:f>
        <x:v>12127.5</x:v>
      </x:c>
      <x:c r="H2" s="53" t="n">
        <x:f>'Service Revenue Path'!H9</x:f>
        <x:v>12127.5</x:v>
      </x:c>
      <x:c r="I2" s="45" t="str">
        <x:v>Medium</x:v>
      </x:c>
      <x:c r="J2" s="45" t="str">
        <x:v>Sales consistency</x:v>
      </x:c>
      <x:c r="K2" s="46" t="str">
        <x:v>Primary track</x:v>
      </x:c>
    </x:row>
    <x:row r="3" ht="15" hidden="0" customHeight="1">
      <x:c r="A3" s="47" t="str">
        <x:v>Paper trading bot</x:v>
      </x:c>
      <x:c r="B3" s="54" t="n">
        <x:v>0</x:v>
      </x:c>
      <x:c r="C3" s="54" t="n">
        <x:v>0</x:v>
      </x:c>
      <x:c r="D3" s="54" t="n">
        <x:v>0</x:v>
      </x:c>
      <x:c r="E3" s="54" t="str"/>
      <x:c r="F3" s="54" t="str"/>
      <x:c r="G3" s="54" t="n">
        <x:f>0</x:f>
        <x:v>0</x:v>
      </x:c>
      <x:c r="H3" s="54" t="n">
        <x:f>0</x:f>
        <x:v>0</x:v>
      </x:c>
      <x:c r="I3" s="48" t="str">
        <x:v>Medium</x:v>
      </x:c>
      <x:c r="J3" s="48" t="str">
        <x:v>Real-money losses if promoted too early</x:v>
      </x:c>
      <x:c r="K3" s="49" t="str">
        <x:v>Research only</x:v>
      </x:c>
    </x:row>
    <x:row r="4" ht="15" hidden="0" customHeight="1">
      <x:c r="A4" s="47" t="str">
        <x:v>BTC ASIC mining - S21 at $0.10/kWh</x:v>
      </x:c>
      <x:c r="B4" s="54" t="n">
        <x:f>Assumptions!B5</x:f>
        <x:v>1600</x:v>
      </x:c>
      <x:c r="C4" s="54" t="n">
        <x:f>Assumptions!B6</x:f>
        <x:v>7</x:v>
      </x:c>
      <x:c r="D4" s="54" t="n">
        <x:f>Assumptions!B8*Assumptions!B7*24</x:f>
        <x:v>8.4</x:v>
      </x:c>
      <x:c r="E4" s="85" t="n">
        <x:v>309</x:v>
      </x:c>
      <x:c r="F4" s="85" t="n">
        <x:f>E4</x:f>
        <x:v>309</x:v>
      </x:c>
      <x:c r="G4" s="54" t="n">
        <x:f>C4*E4</x:f>
        <x:v>2163</x:v>
      </x:c>
      <x:c r="H4" s="54" t="n">
        <x:f>G4-(D4*E4)-B4</x:f>
        <x:v>-2032.6</x:v>
      </x:c>
      <x:c r="I4" s="48" t="str">
        <x:v>High</x:v>
      </x:c>
      <x:c r="J4" s="48" t="str">
        <x:v>Negative margin at normal residential power</x:v>
      </x:c>
      <x:c r="K4" s="49" t="str">
        <x:v>Do not buy</x:v>
      </x:c>
    </x:row>
    <x:row r="5" ht="15" hidden="0" customHeight="1">
      <x:c r="A5" s="47" t="str">
        <x:v>BTC ASIC mining - cheap/free power</x:v>
      </x:c>
      <x:c r="B5" s="54" t="n">
        <x:f>Assumptions!B5</x:f>
        <x:v>1600</x:v>
      </x:c>
      <x:c r="C5" s="54" t="n">
        <x:f>Assumptions!B6</x:f>
        <x:v>7</x:v>
      </x:c>
      <x:c r="D5" s="54" t="n">
        <x:f>Assumptions!B8*Assumptions!D7*24</x:f>
        <x:v>8.4</x:v>
      </x:c>
      <x:c r="E5" s="85" t="n">
        <x:v>309</x:v>
      </x:c>
      <x:c r="F5" s="85" t="n">
        <x:f>E5</x:f>
        <x:v>309</x:v>
      </x:c>
      <x:c r="G5" s="54" t="n">
        <x:f>C5*E5</x:f>
        <x:v>2163</x:v>
      </x:c>
      <x:c r="H5" s="54" t="n">
        <x:f>G5-(D5*E5)-B5</x:f>
        <x:v>-2032.6</x:v>
      </x:c>
      <x:c r="I5" s="48" t="str">
        <x:v>High</x:v>
      </x:c>
      <x:c r="J5" s="48" t="str">
        <x:v>Power, noise, heat, difficulty, BTC volatility</x:v>
      </x:c>
      <x:c r="K5" s="49" t="str">
        <x:v>Validate only if power &lt; $0.06/kWh</x:v>
      </x:c>
    </x:row>
    <x:row r="6" ht="15" hidden="0" customHeight="1">
      <x:c r="A6" s="47" t="str">
        <x:v>GPU hosting - 1 NVIDIA host</x:v>
      </x:c>
      <x:c r="B6" s="54" t="n">
        <x:f>Assumptions!B9</x:f>
        <x:v>3200</x:v>
      </x:c>
      <x:c r="C6" s="54" t="n">
        <x:f>Assumptions!B10</x:f>
        <x:v>0.4</x:v>
      </x:c>
      <x:c r="D6" s="54" t="n">
        <x:f>Assumptions!B12*Assumptions!B8*24</x:f>
        <x:v>1.56</x:v>
      </x:c>
      <x:c r="E6" s="85" t="n">
        <x:f>Assumptions!B11</x:f>
        <x:v>0.35</x:v>
      </x:c>
      <x:c r="F6" s="85" t="n">
        <x:f>Dashboard!B7</x:f>
        <x:v>10.152117488582974</x:v>
      </x:c>
      <x:c r="G6" s="54" t="n">
        <x:f>C6*24*30.437*F6*E6</x:f>
        <x:v>1038.24</x:v>
      </x:c>
      <x:c r="H6" s="54" t="n">
        <x:f>G6-(D6*24*30.437*F6)-B6</x:f>
        <x:v>-13730.719999999998</x:v>
      </x:c>
      <x:c r="I6" s="48" t="str">
        <x:v>High</x:v>
      </x:c>
      <x:c r="J6" s="48" t="str">
        <x:v>Low utilization, support burden, capex payback</x:v>
      </x:c>
      <x:c r="K6" s="49" t="str">
        <x:v>Validate marketplace before buying</x:v>
      </x:c>
    </x:row>
    <x:row r="7" ht="15" hidden="0" customHeight="1">
      <x:c r="A7" s="47" t="str">
        <x:v>Mac local AI service backend</x:v>
      </x:c>
      <x:c r="B7" s="54" t="n">
        <x:v>0</x:v>
      </x:c>
      <x:c r="C7" s="54" t="n">
        <x:v>500</x:v>
      </x:c>
      <x:c r="D7" s="54" t="n">
        <x:v>80</x:v>
      </x:c>
      <x:c r="E7" s="85" t="n">
        <x:v>4</x:v>
      </x:c>
      <x:c r="F7" s="85" t="n">
        <x:v>6</x:v>
      </x:c>
      <x:c r="G7" s="54" t="n">
        <x:f>C7*E7</x:f>
        <x:v>2000</x:v>
      </x:c>
      <x:c r="H7" s="54" t="n">
        <x:f>G7-(D7*E7)-B7</x:f>
        <x:v>1680</x:v>
      </x:c>
      <x:c r="I7" s="48" t="str">
        <x:v>Low-medium</x:v>
      </x:c>
      <x:c r="J7" s="48" t="str">
        <x:v>Not rental-grade; best for owned demos</x:v>
      </x:c>
      <x:c r="K7" s="49" t="str">
        <x:v>Use for JVT delivery</x:v>
      </x:c>
    </x:row>
    <x:row r="8" ht="15" hidden="0" customHeight="1">
      <x:c r="A8" s="47" t="str">
        <x:v>Token/NFT/coin launch</x:v>
      </x:c>
      <x:c r="B8" s="54" t="n">
        <x:v>500</x:v>
      </x:c>
      <x:c r="C8" s="54" t="n">
        <x:v>0</x:v>
      </x:c>
      <x:c r="D8" s="54" t="n">
        <x:v>0</x:v>
      </x:c>
      <x:c r="E8" s="85" t="str"/>
      <x:c r="F8" s="85" t="str"/>
      <x:c r="G8" s="54" t="n">
        <x:f>0</x:f>
        <x:v>0</x:v>
      </x:c>
      <x:c r="H8" s="54" t="n">
        <x:f>0</x:f>
        <x:v>0</x:v>
      </x:c>
      <x:c r="I8" s="48" t="str">
        <x:v>High</x:v>
      </x:c>
      <x:c r="J8" s="48" t="str">
        <x:v>No distribution/community = no value</x:v>
      </x:c>
      <x:c r="K8" s="49" t="str">
        <x:v>Do not prioritize</x:v>
      </x:c>
    </x:row>
    <x:row r="9" ht="15" hidden="0" customHeight="1">
      <x:c r="A9" s="47" t="str">
        <x:v>Affiliate/tool resale</x:v>
      </x:c>
      <x:c r="B9" s="54" t="n">
        <x:v>0</x:v>
      </x:c>
      <x:c r="C9" s="54" t="n">
        <x:v>100</x:v>
      </x:c>
      <x:c r="D9" s="54" t="n">
        <x:v>0</x:v>
      </x:c>
      <x:c r="E9" s="85" t="n">
        <x:v>5</x:v>
      </x:c>
      <x:c r="F9" s="85" t="n">
        <x:v>5</x:v>
      </x:c>
      <x:c r="G9" s="54" t="n">
        <x:f>C9*E9</x:f>
        <x:v>500</x:v>
      </x:c>
      <x:c r="H9" s="54" t="n">
        <x:f>G9-D9-B9</x:f>
        <x:v>500</x:v>
      </x:c>
      <x:c r="I9" s="48" t="str">
        <x:v>Low</x:v>
      </x:c>
      <x:c r="J9" s="48" t="str">
        <x:v>Low trust unless tied to real service</x:v>
      </x:c>
      <x:c r="K9" s="49" t="str">
        <x:v>Attach to client work</x:v>
      </x:c>
    </x:row>
    <x:row r="10" ht="15" hidden="0" customHeight="1">
      <x:c r="A10" s="50" t="str">
        <x:v>Total speculative expected</x:v>
      </x:c>
      <x:c r="B10" s="55" t="str"/>
      <x:c r="C10" s="55" t="str"/>
      <x:c r="D10" s="55" t="str"/>
      <x:c r="E10" s="86" t="str"/>
      <x:c r="F10" s="86" t="str"/>
      <x:c r="G10" s="55" t="n">
        <x:f>SUM(H3:H9)</x:f>
        <x:v>-15615.919999999998</x:v>
      </x:c>
      <x:c r="H10" s="55" t="n">
        <x:f>SUM(H3:H9)</x:f>
        <x:v>-15615.919999999998</x:v>
      </x:c>
      <x:c r="I10" s="51" t="str"/>
      <x:c r="J10" s="51" t="str"/>
      <x:c r="K10" s="52" t="str"/>
    </x:row>
  </x:sheetData>
  <x:conditionalFormatting sqref="H4:H6">
    <x:cfRule type="cellIs" dxfId="0" priority="1" operator="lessThan">
      <x:formula>0</x:formula>
    </x:cfRule>
  </x:conditionalFormatting>
  <x:conditionalFormatting sqref="H2:H10">
    <x:cfRule type="cellIs" dxfId="1" priority="2" operator="greaterThan">
      <x:formula>1000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41.959999084472656" hidden="0" customWidth="1"/>
    <x:col min="3" max="3" width="6.260000228881836" hidden="0" customWidth="1"/>
    <x:col min="4" max="4" width="8.470000267028809" hidden="0" customWidth="1"/>
    <x:col min="5" max="5" width="29.200000762939453" hidden="0" customWidth="1"/>
    <x:col min="6" max="6" width="35.459999084472656" hidden="0" customWidth="1"/>
    <x:col min="7" max="7" width="17.18000030517578" hidden="0" customWidth="1"/>
  </x:cols>
  <x:sheetData>
    <x:row r="1" ht="15" hidden="0" customHeight="1">
      <x:c r="A1" s="23" t="str">
        <x:v>Priority</x:v>
      </x:c>
      <x:c r="B1" s="24" t="str">
        <x:v>Action</x:v>
      </x:c>
      <x:c r="C1" s="24" t="str">
        <x:v>Owner</x:v>
      </x:c>
      <x:c r="D1" s="24" t="str">
        <x:v>Due</x:v>
      </x:c>
      <x:c r="E1" s="24" t="str">
        <x:v>Output</x:v>
      </x:c>
      <x:c r="F1" s="24" t="str">
        <x:v>Success metric</x:v>
      </x:c>
      <x:c r="G1" s="25" t="str">
        <x:v>Status</x:v>
      </x:c>
    </x:row>
    <x:row r="2" ht="15" hidden="0" customHeight="1">
      <x:c r="A2" s="88" t="n">
        <x:v>1</x:v>
      </x:c>
      <x:c r="B2" s="45" t="str">
        <x:v>Package AI receptionist dry-run demo into a sellable offer</x:v>
      </x:c>
      <x:c r="C2" s="45" t="str">
        <x:v>JVT</x:v>
      </x:c>
      <x:c r="D2" s="67" t="n">
        <x:v>46176</x:v>
      </x:c>
      <x:c r="E2" s="45" t="str">
        <x:v>Offer page + 2-minute demo path</x:v>
      </x:c>
      <x:c r="F2" s="45" t="str">
        <x:v>Can show before/after intake packet</x:v>
      </x:c>
      <x:c r="G2" s="46" t="str">
        <x:v>Next</x:v>
      </x:c>
    </x:row>
    <x:row r="3" ht="15" hidden="0" customHeight="1">
      <x:c r="A3" s="89" t="n">
        <x:v>2</x:v>
      </x:c>
      <x:c r="B3" s="48" t="str">
        <x:v>Send 20 follow-ups/week with stricter recipient quality</x:v>
      </x:c>
      <x:c r="C3" s="48" t="str">
        <x:v>JVT</x:v>
      </x:c>
      <x:c r="D3" s="70" t="n">
        <x:v>46180</x:v>
      </x:c>
      <x:c r="E3" s="48" t="str">
        <x:v>Qualified sends only</x:v>
      </x:c>
      <x:c r="F3" s="48" t="str">
        <x:v>At least 2 booked conversations/month</x:v>
      </x:c>
      <x:c r="G3" s="49" t="str">
        <x:v>Active</x:v>
      </x:c>
    </x:row>
    <x:row r="4" ht="15" hidden="0" customHeight="1">
      <x:c r="A4" s="89" t="n">
        <x:v>3</x:v>
      </x:c>
      <x:c r="B4" s="48" t="str">
        <x:v>Create meeting-to-action sample from synthetic call</x:v>
      </x:c>
      <x:c r="C4" s="48" t="str">
        <x:v>JVT</x:v>
      </x:c>
      <x:c r="D4" s="70" t="n">
        <x:v>46183</x:v>
      </x:c>
      <x:c r="E4" s="48" t="str">
        <x:v>Public proof packet</x:v>
      </x:c>
      <x:c r="F4" s="48" t="str">
        <x:v>Client can understand output in 60 seconds</x:v>
      </x:c>
      <x:c r="G4" s="49" t="str">
        <x:v>Next</x:v>
      </x:c>
    </x:row>
    <x:row r="5" ht="15" hidden="0" customHeight="1">
      <x:c r="A5" s="89" t="n">
        <x:v>4</x:v>
      </x:c>
      <x:c r="B5" s="48" t="str">
        <x:v>Quote first paid pilot at $500-$1,500</x:v>
      </x:c>
      <x:c r="C5" s="48" t="str">
        <x:v>JVT</x:v>
      </x:c>
      <x:c r="D5" s="70" t="n">
        <x:v>46187</x:v>
      </x:c>
      <x:c r="E5" s="48" t="str">
        <x:v>Simple fixed-scope proposal</x:v>
      </x:c>
      <x:c r="F5" s="48" t="str">
        <x:v>One signed/paid pilot</x:v>
      </x:c>
      <x:c r="G5" s="49" t="str">
        <x:v>Next</x:v>
      </x:c>
    </x:row>
    <x:row r="6" ht="15" hidden="0" customHeight="1">
      <x:c r="A6" s="89" t="n">
        <x:v>5</x:v>
      </x:c>
      <x:c r="B6" s="48" t="str">
        <x:v>Ask 10 local/professional contacts for workflow pain</x:v>
      </x:c>
      <x:c r="C6" s="48" t="str">
        <x:v>Chandru</x:v>
      </x:c>
      <x:c r="D6" s="70" t="n">
        <x:v>46188</x:v>
      </x:c>
      <x:c r="E6" s="48" t="str">
        <x:v>Pain list + warm intros</x:v>
      </x:c>
      <x:c r="F6" s="48" t="str">
        <x:v>3 real pain patterns</x:v>
      </x:c>
      <x:c r="G6" s="49" t="str">
        <x:v>Next</x:v>
      </x:c>
    </x:row>
    <x:row r="7" ht="15" hidden="0" customHeight="1">
      <x:c r="A7" s="89" t="n">
        <x:v>6</x:v>
      </x:c>
      <x:c r="B7" s="48" t="str">
        <x:v>Measure actual home/business marginal power cost</x:v>
      </x:c>
      <x:c r="C7" s="48" t="str">
        <x:v>Chandru</x:v>
      </x:c>
      <x:c r="D7" s="70" t="n">
        <x:v>46193</x:v>
      </x:c>
      <x:c r="E7" s="48" t="str">
        <x:v>$/kWh input</x:v>
      </x:c>
      <x:c r="F7" s="48" t="str">
        <x:v>Power cost known before ASIC decision</x:v>
      </x:c>
      <x:c r="G7" s="49" t="str">
        <x:v>Blocked until measured</x:v>
      </x:c>
    </x:row>
    <x:row r="8" ht="15" hidden="0" customHeight="1">
      <x:c r="A8" s="89" t="n">
        <x:v>7</x:v>
      </x:c>
      <x:c r="B8" s="48" t="str">
        <x:v>Do GPU-host marketplace validation before hardware</x:v>
      </x:c>
      <x:c r="C8" s="48" t="str">
        <x:v>JVT</x:v>
      </x:c>
      <x:c r="D8" s="70" t="n">
        <x:v>46203</x:v>
      </x:c>
      <x:c r="E8" s="48" t="str">
        <x:v>Vast/RunPod host requirement checklist</x:v>
      </x:c>
      <x:c r="F8" s="48" t="str">
        <x:v>Can estimate utilization and support burden</x:v>
      </x:c>
      <x:c r="G8" s="49" t="str">
        <x:v>Next</x:v>
      </x:c>
    </x:row>
    <x:row r="9" ht="15" hidden="0" customHeight="1">
      <x:c r="A9" s="89" t="n">
        <x:v>8</x:v>
      </x:c>
      <x:c r="B9" s="48" t="str">
        <x:v>Keep paper trader paper-only for 60-90 days</x:v>
      </x:c>
      <x:c r="C9" s="48" t="str">
        <x:v>JVT</x:v>
      </x:c>
      <x:c r="D9" s="70" t="n">
        <x:v>46265</x:v>
      </x:c>
      <x:c r="E9" s="48" t="str">
        <x:v>Weekly report</x:v>
      </x:c>
      <x:c r="F9" s="48" t="str">
        <x:v>No live orders; drawdown and execution tracked</x:v>
      </x:c>
      <x:c r="G9" s="49" t="str">
        <x:v>Active</x:v>
      </x:c>
    </x:row>
    <x:row r="10" ht="15" hidden="0" customHeight="1">
      <x:c r="A10" s="89" t="n">
        <x:v>9</x:v>
      </x:c>
      <x:c r="B10" s="48" t="str">
        <x:v>Decide hardware only after math beats one client project</x:v>
      </x:c>
      <x:c r="C10" s="48" t="str">
        <x:v>Chandru</x:v>
      </x:c>
      <x:c r="D10" s="70" t="n">
        <x:v>46218</x:v>
      </x:c>
      <x:c r="E10" s="48" t="str">
        <x:v>Go/no-go</x:v>
      </x:c>
      <x:c r="F10" s="48" t="str">
        <x:v>Expected net beats $1,500 service pilot</x:v>
      </x:c>
      <x:c r="G10" s="49" t="str">
        <x:v>Guardrail</x:v>
      </x:c>
    </x:row>
    <x:row r="11" ht="15" hidden="0" customHeight="1">
      <x:c r="A11" s="89" t="n">
        <x:v>10</x:v>
      </x:c>
      <x:c r="B11" s="48" t="str">
        <x:v>Monthly target check</x:v>
      </x:c>
      <x:c r="C11" s="48" t="str">
        <x:v>JVT</x:v>
      </x:c>
      <x:c r="D11" s="70" t="n">
        <x:v>46203</x:v>
      </x:c>
      <x:c r="E11" s="48" t="str">
        <x:v>Revenue tracker update</x:v>
      </x:c>
      <x:c r="F11" s="48" t="str">
        <x:v>Monthly cash pace &gt;= Dashboard B8</x:v>
      </x:c>
      <x:c r="G11" s="49" t="str">
        <x:v>Recurring</x:v>
      </x:c>
    </x:row>
    <x:row r="12" ht="15" hidden="0" customHeight="1">
      <x:c r="A12" s="89" t="n">
        <x:v>11</x:v>
      </x:c>
      <x:c r="B12" s="48" t="str">
        <x:v>Build one paid-offer landing section per service wedge</x:v>
      </x:c>
      <x:c r="C12" s="48" t="str">
        <x:v>JVT</x:v>
      </x:c>
      <x:c r="D12" s="70" t="n">
        <x:v>46194</x:v>
      </x:c>
      <x:c r="E12" s="48" t="str">
        <x:v>Website sections</x:v>
      </x:c>
      <x:c r="F12" s="48" t="str">
        <x:v>Each wedge has proof, CTA, price range</x:v>
      </x:c>
      <x:c r="G12" s="49" t="str">
        <x:v>Next</x:v>
      </x:c>
    </x:row>
    <x:row r="13" ht="15" hidden="0" customHeight="1">
      <x:c r="A13" s="89" t="n">
        <x:v>12</x:v>
      </x:c>
      <x:c r="B13" s="48" t="str">
        <x:v>No token/NFT until distribution exists</x:v>
      </x:c>
      <x:c r="C13" s="48" t="str">
        <x:v>JVT</x:v>
      </x:c>
      <x:c r="D13" s="70" t="n">
        <x:v>46234</x:v>
      </x:c>
      <x:c r="E13" s="48" t="str">
        <x:v>Audience threshold definition</x:v>
      </x:c>
      <x:c r="F13" s="48" t="str">
        <x:v>100+ opted-in audience or abandon</x:v>
      </x:c>
      <x:c r="G13" s="49" t="str">
        <x:v>Guardrail</x:v>
      </x:c>
    </x:row>
    <x:row r="14" ht="15" hidden="0" customHeight="1">
      <x:c r="A14" s="90" t="n">
        <x:v>13</x:v>
      </x:c>
      <x:c r="B14" s="51" t="str">
        <x:v>Review March 2027 target weekly</x:v>
      </x:c>
      <x:c r="C14" s="51" t="str">
        <x:v>JVT</x:v>
      </x:c>
      <x:c r="D14" s="87" t="n">
        <x:v>46175</x:v>
      </x:c>
      <x:c r="E14" s="51" t="str">
        <x:v>Control panel note</x:v>
      </x:c>
      <x:c r="F14" s="51" t="str">
        <x:v>Gap is visible every week</x:v>
      </x:c>
      <x:c r="G14" s="52" t="str">
        <x:v>Next</x:v>
      </x:c>
    </x:row>
  </x:sheetData>
  <x:conditionalFormatting sqref="G2:G14">
    <x:cfRule type="containsText" dxfId="2" priority="1" operator="containsText" text="Blocked"/>
    <x:cfRule type="containsText" dxfId="3" priority="2" operator="containsText" text="Active"/>
    <x:cfRule type="containsText" dxfId="4" priority="3" operator="containsText" text="Next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.81999969482422" hidden="0" customWidth="1"/>
    <x:col min="2" max="2" width="20.739999771118164" hidden="0" customWidth="1"/>
    <x:col min="3" max="3" width="101.2300033569336" hidden="0" customWidth="1"/>
    <x:col min="4" max="4" width="78.27999877929688" hidden="0" customWidth="1"/>
  </x:cols>
  <x:sheetData>
    <x:row r="1" ht="15" hidden="0" customHeight="1">
      <x:c r="A1" s="23" t="str">
        <x:v>Source</x:v>
      </x:c>
      <x:c r="B1" s="24" t="str">
        <x:v>Used for</x:v>
      </x:c>
      <x:c r="C1" s="24" t="str">
        <x:v>Key takeaway</x:v>
      </x:c>
      <x:c r="D1" s="25" t="str">
        <x:v>URL</x:v>
      </x:c>
    </x:row>
    <x:row r="2" ht="15" hidden="0" customHeight="1">
      <x:c r="A2" s="44" t="str">
        <x:v>RunPod pricing</x:v>
      </x:c>
      <x:c r="B2" s="45" t="str">
        <x:v>GPU rental market reference</x:v>
      </x:c>
      <x:c r="C2" s="45" t="str">
        <x:v>Public GPU cloud prices include RTX 4090-class rental around sub-$1/hr ranges; host economics must be lower after marketplace friction.</x:v>
      </x:c>
      <x:c r="D2" s="46" t="str">
        <x:v>https://www.runpod.io/pricing</x:v>
      </x:c>
    </x:row>
    <x:row r="3" ht="15" hidden="0" customHeight="1">
      <x:c r="A3" s="47" t="str">
        <x:v>RunPod pricing docs</x:v>
      </x:c>
      <x:c r="B3" s="48" t="str">
        <x:v>Billing structure</x:v>
      </x:c>
      <x:c r="C3" s="48" t="str">
        <x:v>Pods are billed by second for compute/storage; latest pricing is in deployment console.</x:v>
      </x:c>
      <x:c r="D3" s="49" t="str">
        <x:v>https://docs.runpod.io/pods/pricing</x:v>
      </x:c>
    </x:row>
    <x:row r="4" ht="15" hidden="0" customHeight="1">
      <x:c r="A4" s="47" t="str">
        <x:v>Vast.ai hosting overview</x:v>
      </x:c>
      <x:c r="B4" s="48" t="str">
        <x:v>Host requirements</x:v>
      </x:c>
      <x:c r="C4" s="48" t="str">
        <x:v>Hosts maintain Linux/NVIDIA servers, networking, listings, uptime, heat/power, and client contracts.</x:v>
      </x:c>
      <x:c r="D4" s="49" t="str">
        <x:v>https://docs.vast.ai/overview</x:v>
      </x:c>
    </x:row>
    <x:row r="5" ht="15" hidden="0" customHeight="1">
      <x:c r="A5" s="47" t="str">
        <x:v>StartMining Antminer S21 page</x:v>
      </x:c>
      <x:c r="B5" s="48" t="str">
        <x:v>ASIC gross economics</x:v>
      </x:c>
      <x:c r="C5" s="48" t="str">
        <x:v>S21 example: 200 TH/s, 3.5kW, around $7/day gross at cited hashprice.</x:v>
      </x:c>
      <x:c r="D5" s="49" t="str">
        <x:v>https://pro.startmining.io/en/asics/bitmain-antminer-s21</x:v>
      </x:c>
    </x:row>
    <x:row r="6" ht="15" hidden="0" customHeight="1">
      <x:c r="A6" s="47" t="str">
        <x:v>ASIC Miner Value S21</x:v>
      </x:c>
      <x:c r="B6" s="48" t="str">
        <x:v>ASIC downside case</x:v>
      </x:c>
      <x:c r="C6" s="48" t="str">
        <x:v>S21 can be negative at $0.10/kWh depending on live BTC/difficulty/hashprice.</x:v>
      </x:c>
      <x:c r="D6" s="49" t="str">
        <x:v>https://www.asicminervalue.com/en/miners/bitmain/antminer-s21-200th</x:v>
      </x:c>
    </x:row>
    <x:row r="7" ht="15" hidden="0" customHeight="1">
      <x:c r="A7" s="47" t="str">
        <x:v>ASIC reseller snippets</x:v>
      </x:c>
      <x:c r="B7" s="48" t="str">
        <x:v>Capex range</x:v>
      </x:c>
      <x:c r="C7" s="48" t="str">
        <x:v>S21 used/new market appears roughly low-thousands; refresh quote before purchase.</x:v>
      </x:c>
      <x:c r="D7" s="49" t="str">
        <x:v>https://www.asicprices.com/en/miner/antminer-s21</x:v>
      </x:c>
    </x:row>
    <x:row r="8" ht="15" hidden="0" customHeight="1">
      <x:c r="A8" s="47" t="str">
        <x:v>Alpaca PDT update</x:v>
      </x:c>
      <x:c r="B8" s="48" t="str">
        <x:v>Trading guardrail</x:v>
      </x:c>
      <x:c r="C8" s="48" t="str">
        <x:v>PDT framework changes June 4, 2026, but broker intraday risk/margin still matters.</x:v>
      </x:c>
      <x:c r="D8" s="49" t="str">
        <x:v>https://alpaca.markets/blog/finra-retires-the-pdt-rule-introducing-alpacas-new-intraday-margin-framework/</x:v>
      </x:c>
    </x:row>
    <x:row r="9" ht="15" hidden="0" customHeight="1">
      <x:c r="A9" s="47" t="str">
        <x:v>SEC SR-FINRA-2025-017</x:v>
      </x:c>
      <x:c r="B9" s="48" t="str">
        <x:v>Regulatory reference</x:v>
      </x:c>
      <x:c r="C9" s="48" t="str">
        <x:v>FINRA Rule 4210 amendment process for pattern day trading margin changes.</x:v>
      </x:c>
      <x:c r="D9" s="49" t="str">
        <x:v>https://www.sec.gov/rules-regulations/self-regulatory-organization-rulemaking/sr-finra-2025-017</x:v>
      </x:c>
    </x:row>
    <x:row r="10" ht="15" hidden="0" customHeight="1">
      <x:c r="A10" s="50" t="str">
        <x:v>JVT internal paper trader</x:v>
      </x:c>
      <x:c r="B10" s="51" t="str">
        <x:v>Trading status</x:v>
      </x:c>
      <x:c r="C10" s="51" t="str">
        <x:v>Paper mode only; no live orders counted toward cash target.</x:v>
      </x:c>
      <x:c r="D10" s="52" t="str">
        <x:v>/home/sysadmin/JVT-AutoTrader/state/latest_paper_bot_report.json</x:v>
      </x:c>
    </x:row>
  </x:sheetData>
  <x:pageMargins left="0.7" right="0.7" top="0.75" bottom="0.75" header="0.3" footer="0.3"/>
</x:worksheet>
</file>